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Mayo" sheetId="2" r:id="rId5"/>
    <sheet state="visible" name="Junio" sheetId="3" r:id="rId6"/>
    <sheet state="visible" name="Julio" sheetId="4" r:id="rId7"/>
    <sheet state="visible" name="Agosto" sheetId="5" r:id="rId8"/>
    <sheet state="visible" name="Septiembre" sheetId="6" r:id="rId9"/>
    <sheet state="visible" name="Octubre" sheetId="7" r:id="rId10"/>
    <sheet state="visible" name="Noviembre" sheetId="8" r:id="rId11"/>
    <sheet state="visible" name="Diciembre" sheetId="9" r:id="rId12"/>
    <sheet state="visible" name="Enero" sheetId="10" r:id="rId13"/>
    <sheet state="visible" name="Febrero" sheetId="11" r:id="rId14"/>
    <sheet state="visible" name="Marzo" sheetId="12" r:id="rId15"/>
    <sheet state="visible" name="Abril" sheetId="13" r:id="rId16"/>
  </sheets>
  <definedNames/>
  <calcPr/>
  <extLst>
    <ext uri="GoogleSheetsCustomDataVersion1">
      <go:sheetsCustomData xmlns:go="http://customooxmlschemas.google.com/" r:id="rId17" roundtripDataSignature="AMtx7mhtamtWxgV8v7RlIizCAHVraVIYaA=="/>
    </ext>
  </extLst>
</workbook>
</file>

<file path=xl/sharedStrings.xml><?xml version="1.0" encoding="utf-8"?>
<sst xmlns="http://schemas.openxmlformats.org/spreadsheetml/2006/main" count="184" uniqueCount="41">
  <si>
    <t>MAYO</t>
  </si>
  <si>
    <t>COBRO TRANSFERENCIA</t>
  </si>
  <si>
    <t>INGRESOS</t>
  </si>
  <si>
    <t>GASTOS</t>
  </si>
  <si>
    <t>COBRO EFECTIVO</t>
  </si>
  <si>
    <t>FECHA</t>
  </si>
  <si>
    <t>CONCEPTO</t>
  </si>
  <si>
    <t>TOTAL</t>
  </si>
  <si>
    <t>PAGO TRANSFERENCIA</t>
  </si>
  <si>
    <t>TRANSF. JOSE ÁNGEL SÁNCHEZ</t>
  </si>
  <si>
    <t>PRESTAMO</t>
  </si>
  <si>
    <t>PAGO EFECTIVO</t>
  </si>
  <si>
    <t>TRANSF. RAÚL COSANO</t>
  </si>
  <si>
    <t>JUNIO</t>
  </si>
  <si>
    <t>LUZ</t>
  </si>
  <si>
    <t>TRANSF. CRISTIAN RUIZ</t>
  </si>
  <si>
    <t>TRASF. ALBERTO BERRAL</t>
  </si>
  <si>
    <t>ALMACENES MILLÁN</t>
  </si>
  <si>
    <t>TRANSF. SERGIO RAMOS</t>
  </si>
  <si>
    <t>COMISIONES BANCARIAS</t>
  </si>
  <si>
    <t>TRANSF. JESÚS LOPEZ</t>
  </si>
  <si>
    <t>TRANSF. JUANFRAM GUERRERO</t>
  </si>
  <si>
    <t>TRANSF. FRAN CEJAS</t>
  </si>
  <si>
    <t>CUOTAS</t>
  </si>
  <si>
    <t>HERMANOS</t>
  </si>
  <si>
    <t>IMPORTE</t>
  </si>
  <si>
    <t>TRANSF. RUFINO COSANO</t>
  </si>
  <si>
    <t>PRESTAMOS</t>
  </si>
  <si>
    <t>IBI</t>
  </si>
  <si>
    <t>COMISIONES BANCARIOS</t>
  </si>
  <si>
    <t>BENEFICIO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</si>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</sst>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.00\ &quot;€&quot;_-;\-* #,##0.00\ &quot;€&quot;_-;_-* &quot;-&quot;??\ &quot;€&quot;_-;_-@"/>
    <numFmt numFmtId="166" formatCode="#,##0\ &quot;€&quot;;[Red]\-#,##0\ &quot;€&quot;"/>
    <numFmt numFmtId="167" formatCode="_-* #,##0\ &quot;€&quot;_-;\-* #,##0\ &quot;€&quot;_-;_-* &quot;-&quot;\ &quot;€&quot;_-;_-@"/>
    <numFmt numFmtId="168" formatCode="#,##0\ &quot;€&quot;"/>
  </numFmts>
  <fonts count="16">
    <font>
      <sz val="11.0"/>
      <color theme="1"/>
      <name val="Arial"/>
    </font>
    <font>
      <b/>
      <sz val="18.0"/>
      <color theme="1"/>
      <name val="Calibri"/>
    </font>
    <font>
      <sz val="11.0"/>
      <color rgb="FF0070C0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B05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rgb="FF4A86E8"/>
    </font>
    <font>
      <sz val="11.0"/>
      <color rgb="FF4A86E8"/>
      <name val="Calibri"/>
    </font>
    <font>
      <sz val="11.0"/>
      <color rgb="FF000000"/>
    </font>
    <font>
      <sz val="11.0"/>
      <color rgb="FFFF0000"/>
    </font>
    <font>
      <b/>
      <sz val="11.0"/>
      <color rgb="FF00B050"/>
      <name val="Calibri"/>
    </font>
    <font>
      <b/>
      <sz val="11.0"/>
      <color rgb="FFFF0000"/>
      <name val="Calibri"/>
    </font>
    <font>
      <sz val="11.0"/>
      <color rgb="FF00B0F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28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0" fillId="0" fontId="2" numFmtId="0" xfId="0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3" fontId="5" numFmtId="0" xfId="0" applyBorder="1" applyFill="1" applyFont="1"/>
    <xf borderId="0" fillId="0" fontId="6" numFmtId="0" xfId="0" applyFont="1"/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4" numFmtId="0" xfId="0" applyBorder="1" applyFont="1"/>
    <xf borderId="9" fillId="0" fontId="3" numFmtId="0" xfId="0" applyAlignment="1" applyBorder="1" applyFont="1">
      <alignment horizontal="center"/>
    </xf>
    <xf borderId="1" fillId="4" fontId="5" numFmtId="0" xfId="0" applyBorder="1" applyFill="1" applyFont="1"/>
    <xf borderId="0" fillId="0" fontId="5" numFmtId="0" xfId="0" applyFont="1"/>
    <xf borderId="10" fillId="0" fontId="2" numFmtId="164" xfId="0" applyAlignment="1" applyBorder="1" applyFont="1" applyNumberFormat="1">
      <alignment readingOrder="0"/>
    </xf>
    <xf borderId="11" fillId="0" fontId="2" numFmtId="0" xfId="0" applyAlignment="1" applyBorder="1" applyFont="1">
      <alignment horizontal="center" readingOrder="0"/>
    </xf>
    <xf borderId="12" fillId="0" fontId="4" numFmtId="0" xfId="0" applyBorder="1" applyFont="1"/>
    <xf borderId="11" fillId="0" fontId="2" numFmtId="165" xfId="0" applyAlignment="1" applyBorder="1" applyFont="1" applyNumberFormat="1">
      <alignment readingOrder="0"/>
    </xf>
    <xf borderId="10" fillId="0" fontId="7" numFmtId="164" xfId="0" applyAlignment="1" applyBorder="1" applyFont="1" applyNumberFormat="1">
      <alignment readingOrder="0"/>
    </xf>
    <xf borderId="11" fillId="0" fontId="5" numFmtId="0" xfId="0" applyAlignment="1" applyBorder="1" applyFont="1">
      <alignment horizontal="center"/>
    </xf>
    <xf borderId="13" fillId="0" fontId="5" numFmtId="165" xfId="0" applyBorder="1" applyFont="1" applyNumberFormat="1"/>
    <xf borderId="1" fillId="5" fontId="5" numFmtId="0" xfId="0" applyBorder="1" applyFill="1" applyFont="1"/>
    <xf borderId="0" fillId="0" fontId="8" numFmtId="0" xfId="0" applyFont="1"/>
    <xf borderId="14" fillId="0" fontId="2" numFmtId="164" xfId="0" applyAlignment="1" applyBorder="1" applyFont="1" applyNumberFormat="1">
      <alignment readingOrder="0"/>
    </xf>
    <xf borderId="15" fillId="0" fontId="2" numFmtId="0" xfId="0" applyAlignment="1" applyBorder="1" applyFont="1">
      <alignment horizontal="center" readingOrder="0"/>
    </xf>
    <xf borderId="16" fillId="0" fontId="4" numFmtId="0" xfId="0" applyBorder="1" applyFont="1"/>
    <xf borderId="15" fillId="0" fontId="2" numFmtId="165" xfId="0" applyAlignment="1" applyBorder="1" applyFont="1" applyNumberFormat="1">
      <alignment readingOrder="0"/>
    </xf>
    <xf borderId="14" fillId="0" fontId="7" numFmtId="164" xfId="0" applyAlignment="1" applyBorder="1" applyFont="1" applyNumberFormat="1">
      <alignment readingOrder="0"/>
    </xf>
    <xf borderId="11" fillId="0" fontId="7" numFmtId="0" xfId="0" applyAlignment="1" applyBorder="1" applyFont="1">
      <alignment horizontal="center" readingOrder="0"/>
    </xf>
    <xf borderId="17" fillId="0" fontId="5" numFmtId="165" xfId="0" applyAlignment="1" applyBorder="1" applyFont="1" applyNumberFormat="1">
      <alignment readingOrder="0"/>
    </xf>
    <xf borderId="10" fillId="0" fontId="9" numFmtId="164" xfId="0" applyAlignment="1" applyBorder="1" applyFont="1" applyNumberFormat="1">
      <alignment readingOrder="0"/>
    </xf>
    <xf borderId="11" fillId="0" fontId="10" numFmtId="0" xfId="0" applyAlignment="1" applyBorder="1" applyFont="1">
      <alignment horizontal="center" readingOrder="0"/>
    </xf>
    <xf borderId="11" fillId="0" fontId="9" numFmtId="165" xfId="0" applyAlignment="1" applyBorder="1" applyFont="1" applyNumberFormat="1">
      <alignment readingOrder="0"/>
    </xf>
    <xf borderId="10" fillId="0" fontId="11" numFmtId="164" xfId="0" applyAlignment="1" applyBorder="1" applyFont="1" applyNumberFormat="1">
      <alignment readingOrder="0"/>
    </xf>
    <xf borderId="14" fillId="0" fontId="10" numFmtId="164" xfId="0" applyAlignment="1" applyBorder="1" applyFont="1" applyNumberFormat="1">
      <alignment readingOrder="0"/>
    </xf>
    <xf borderId="15" fillId="0" fontId="10" numFmtId="0" xfId="0" applyAlignment="1" applyBorder="1" applyFont="1">
      <alignment horizontal="center" readingOrder="0"/>
    </xf>
    <xf borderId="15" fillId="0" fontId="10" numFmtId="165" xfId="0" applyAlignment="1" applyBorder="1" applyFont="1" applyNumberFormat="1">
      <alignment readingOrder="0"/>
    </xf>
    <xf borderId="17" fillId="0" fontId="7" numFmtId="165" xfId="0" applyAlignment="1" applyBorder="1" applyFont="1" applyNumberFormat="1">
      <alignment readingOrder="0"/>
    </xf>
    <xf borderId="14" fillId="0" fontId="5" numFmtId="164" xfId="0" applyBorder="1" applyFont="1" applyNumberFormat="1"/>
    <xf borderId="15" fillId="0" fontId="3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3" fillId="0" fontId="11" numFmtId="165" xfId="0" applyAlignment="1" applyBorder="1" applyFont="1" applyNumberFormat="1">
      <alignment readingOrder="0"/>
    </xf>
    <xf borderId="1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18" fillId="0" fontId="3" numFmtId="0" xfId="0" applyBorder="1" applyFont="1"/>
    <xf borderId="17" fillId="0" fontId="8" numFmtId="165" xfId="0" applyBorder="1" applyFont="1" applyNumberFormat="1"/>
    <xf borderId="18" fillId="0" fontId="5" numFmtId="166" xfId="0" applyBorder="1" applyFont="1" applyNumberFormat="1"/>
    <xf borderId="18" fillId="0" fontId="5" numFmtId="0" xfId="0" applyAlignment="1" applyBorder="1" applyFont="1">
      <alignment horizontal="center"/>
    </xf>
    <xf borderId="14" fillId="0" fontId="6" numFmtId="164" xfId="0" applyBorder="1" applyFont="1" applyNumberFormat="1"/>
    <xf borderId="15" fillId="0" fontId="6" numFmtId="0" xfId="0" applyAlignment="1" applyBorder="1" applyFont="1">
      <alignment horizontal="center"/>
    </xf>
    <xf borderId="15" fillId="0" fontId="6" numFmtId="165" xfId="0" applyBorder="1" applyFont="1" applyNumberFormat="1"/>
    <xf borderId="14" fillId="0" fontId="11" numFmtId="164" xfId="0" applyAlignment="1" applyBorder="1" applyFont="1" applyNumberFormat="1">
      <alignment readingOrder="0"/>
    </xf>
    <xf borderId="14" fillId="0" fontId="2" numFmtId="164" xfId="0" applyBorder="1" applyFont="1" applyNumberFormat="1"/>
    <xf borderId="18" fillId="0" fontId="5" numFmtId="167" xfId="0" applyBorder="1" applyFont="1" applyNumberFormat="1"/>
    <xf borderId="0" fillId="0" fontId="5" numFmtId="167" xfId="0" applyFont="1" applyNumberFormat="1"/>
    <xf borderId="15" fillId="0" fontId="2" numFmtId="0" xfId="0" applyAlignment="1" applyBorder="1" applyFont="1">
      <alignment horizontal="center"/>
    </xf>
    <xf borderId="17" fillId="0" fontId="11" numFmtId="165" xfId="0" applyAlignment="1" applyBorder="1" applyFont="1" applyNumberFormat="1">
      <alignment readingOrder="0"/>
    </xf>
    <xf borderId="15" fillId="0" fontId="2" numFmtId="165" xfId="0" applyBorder="1" applyFont="1" applyNumberFormat="1"/>
    <xf borderId="18" fillId="0" fontId="6" numFmtId="0" xfId="0" applyBorder="1" applyFont="1"/>
    <xf borderId="17" fillId="0" fontId="5" numFmtId="165" xfId="0" applyBorder="1" applyFont="1" applyNumberFormat="1"/>
    <xf borderId="18" fillId="0" fontId="6" numFmtId="167" xfId="0" applyBorder="1" applyFont="1" applyNumberFormat="1"/>
    <xf borderId="18" fillId="0" fontId="5" numFmtId="0" xfId="0" applyBorder="1" applyFont="1"/>
    <xf borderId="14" fillId="0" fontId="5" numFmtId="0" xfId="0" applyBorder="1" applyFont="1"/>
    <xf borderId="18" fillId="0" fontId="8" numFmtId="167" xfId="0" applyBorder="1" applyFont="1" applyNumberFormat="1"/>
    <xf borderId="18" fillId="0" fontId="6" numFmtId="165" xfId="0" applyBorder="1" applyFont="1" applyNumberFormat="1"/>
    <xf borderId="17" fillId="0" fontId="8" numFmtId="165" xfId="0" applyAlignment="1" applyBorder="1" applyFont="1" applyNumberFormat="1">
      <alignment readingOrder="0"/>
    </xf>
    <xf borderId="15" fillId="0" fontId="5" numFmtId="0" xfId="0" applyAlignment="1" applyBorder="1" applyFont="1">
      <alignment horizontal="center"/>
    </xf>
    <xf borderId="15" fillId="0" fontId="5" numFmtId="165" xfId="0" applyBorder="1" applyFont="1" applyNumberFormat="1"/>
    <xf borderId="18" fillId="0" fontId="7" numFmtId="0" xfId="0" applyAlignment="1" applyBorder="1" applyFont="1">
      <alignment readingOrder="0"/>
    </xf>
    <xf borderId="18" fillId="0" fontId="8" numFmtId="165" xfId="0" applyBorder="1" applyFont="1" applyNumberFormat="1"/>
    <xf borderId="19" fillId="0" fontId="3" numFmtId="167" xfId="0" applyBorder="1" applyFont="1" applyNumberFormat="1"/>
    <xf borderId="20" fillId="0" fontId="5" numFmtId="0" xfId="0" applyBorder="1" applyFont="1"/>
    <xf borderId="21" fillId="0" fontId="5" numFmtId="165" xfId="0" applyBorder="1" applyFont="1" applyNumberFormat="1"/>
    <xf borderId="18" fillId="0" fontId="11" numFmtId="0" xfId="0" applyAlignment="1" applyBorder="1" applyFont="1">
      <alignment readingOrder="0"/>
    </xf>
    <xf borderId="18" fillId="0" fontId="12" numFmtId="165" xfId="0" applyAlignment="1" applyBorder="1" applyFont="1" applyNumberFormat="1">
      <alignment readingOrder="0"/>
    </xf>
    <xf borderId="6" fillId="0" fontId="5" numFmtId="0" xfId="0" applyBorder="1" applyFont="1"/>
    <xf borderId="7" fillId="0" fontId="5" numFmtId="0" xfId="0" applyAlignment="1" applyBorder="1" applyFont="1">
      <alignment horizontal="center"/>
    </xf>
    <xf borderId="7" fillId="0" fontId="5" numFmtId="165" xfId="0" applyBorder="1" applyFont="1" applyNumberFormat="1"/>
    <xf borderId="9" fillId="0" fontId="5" numFmtId="165" xfId="0" applyBorder="1" applyFont="1" applyNumberFormat="1"/>
    <xf borderId="0" fillId="0" fontId="13" numFmtId="165" xfId="0" applyFont="1" applyNumberFormat="1"/>
    <xf borderId="0" fillId="0" fontId="14" numFmtId="165" xfId="0" applyFont="1" applyNumberFormat="1"/>
    <xf borderId="0" fillId="0" fontId="3" numFmtId="165" xfId="0" applyFont="1" applyNumberFormat="1"/>
    <xf borderId="21" fillId="0" fontId="8" numFmtId="165" xfId="0" applyBorder="1" applyFont="1" applyNumberFormat="1"/>
    <xf borderId="20" fillId="0" fontId="2" numFmtId="164" xfId="0" applyBorder="1" applyFont="1" applyNumberFormat="1"/>
    <xf borderId="22" fillId="0" fontId="2" numFmtId="165" xfId="0" applyBorder="1" applyFont="1" applyNumberFormat="1"/>
    <xf borderId="22" fillId="0" fontId="5" numFmtId="0" xfId="0" applyAlignment="1" applyBorder="1" applyFont="1">
      <alignment horizontal="center"/>
    </xf>
    <xf borderId="23" fillId="0" fontId="4" numFmtId="0" xfId="0" applyBorder="1" applyFont="1"/>
    <xf borderId="20" fillId="0" fontId="6" numFmtId="164" xfId="0" applyBorder="1" applyFont="1" applyNumberFormat="1"/>
    <xf borderId="0" fillId="0" fontId="6" numFmtId="165" xfId="0" applyFont="1" applyNumberFormat="1"/>
    <xf borderId="22" fillId="0" fontId="6" numFmtId="165" xfId="0" applyBorder="1" applyFont="1" applyNumberFormat="1"/>
    <xf borderId="0" fillId="0" fontId="8" numFmtId="167" xfId="0" applyFont="1" applyNumberFormat="1"/>
    <xf borderId="0" fillId="0" fontId="13" numFmtId="167" xfId="0" applyFont="1" applyNumberFormat="1"/>
    <xf borderId="0" fillId="0" fontId="14" numFmtId="167" xfId="0" applyFont="1" applyNumberFormat="1"/>
    <xf borderId="24" fillId="0" fontId="3" numFmtId="0" xfId="0" applyAlignment="1" applyBorder="1" applyFont="1">
      <alignment horizontal="center"/>
    </xf>
    <xf borderId="25" fillId="0" fontId="4" numFmtId="0" xfId="0" applyBorder="1" applyFont="1"/>
    <xf borderId="25" fillId="0" fontId="3" numFmtId="168" xfId="0" applyAlignment="1" applyBorder="1" applyFont="1" applyNumberFormat="1">
      <alignment horizontal="center"/>
    </xf>
    <xf borderId="26" fillId="0" fontId="4" numFmtId="0" xfId="0" applyBorder="1" applyFont="1"/>
    <xf borderId="23" fillId="0" fontId="5" numFmtId="0" xfId="0" applyAlignment="1" applyBorder="1" applyFont="1">
      <alignment horizontal="center"/>
    </xf>
    <xf borderId="10" fillId="0" fontId="2" numFmtId="164" xfId="0" applyBorder="1" applyFont="1" applyNumberFormat="1"/>
    <xf borderId="11" fillId="0" fontId="2" numFmtId="165" xfId="0" applyBorder="1" applyFont="1" applyNumberFormat="1"/>
    <xf borderId="10" fillId="0" fontId="5" numFmtId="164" xfId="0" applyBorder="1" applyFont="1" applyNumberFormat="1"/>
    <xf borderId="7" fillId="0" fontId="6" numFmtId="165" xfId="0" applyBorder="1" applyFont="1" applyNumberFormat="1"/>
    <xf borderId="10" fillId="0" fontId="15" numFmtId="164" xfId="0" applyBorder="1" applyFont="1" applyNumberFormat="1"/>
    <xf borderId="11" fillId="0" fontId="15" numFmtId="0" xfId="0" applyAlignment="1" applyBorder="1" applyFont="1">
      <alignment horizontal="center"/>
    </xf>
    <xf borderId="11" fillId="0" fontId="15" numFmtId="165" xfId="0" applyBorder="1" applyFont="1" applyNumberFormat="1"/>
    <xf borderId="14" fillId="0" fontId="15" numFmtId="164" xfId="0" applyBorder="1" applyFont="1" applyNumberFormat="1"/>
    <xf borderId="15" fillId="0" fontId="15" numFmtId="0" xfId="0" applyAlignment="1" applyBorder="1" applyFont="1">
      <alignment horizontal="center"/>
    </xf>
    <xf borderId="15" fillId="0" fontId="15" numFmtId="165" xfId="0" applyBorder="1" applyFont="1" applyNumberFormat="1"/>
    <xf borderId="10" fillId="0" fontId="5" numFmtId="0" xfId="0" applyBorder="1" applyFont="1"/>
    <xf borderId="11" fillId="0" fontId="5" numFmtId="165" xfId="0" applyBorder="1" applyFont="1" applyNumberFormat="1"/>
    <xf borderId="9" fillId="0" fontId="8" numFmtId="165" xfId="0" applyBorder="1" applyFont="1" applyNumberFormat="1"/>
    <xf borderId="2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5.5"/>
    <col customWidth="1" min="3" max="3" width="9.38"/>
    <col customWidth="1" min="4" max="4" width="27.88"/>
    <col customWidth="1" min="5" max="6" width="9.38"/>
    <col customWidth="1" min="7" max="7" width="12.63"/>
    <col customWidth="1" min="8" max="8" width="11.88"/>
    <col customWidth="1" min="9" max="10" width="9.38"/>
    <col customWidth="1" min="11" max="11" width="15.25"/>
    <col customWidth="1" min="12" max="26" width="9.38"/>
  </cols>
  <sheetData>
    <row r="1">
      <c r="B1" s="41" t="s">
        <v>2</v>
      </c>
      <c r="C1" s="27"/>
      <c r="D1" s="41" t="s">
        <v>3</v>
      </c>
      <c r="E1" s="27"/>
      <c r="G1" s="44" t="s">
        <v>23</v>
      </c>
      <c r="H1" s="44" t="s">
        <v>24</v>
      </c>
      <c r="I1" s="44" t="s">
        <v>7</v>
      </c>
      <c r="K1" s="45"/>
      <c r="L1" s="46"/>
    </row>
    <row r="2">
      <c r="B2" s="47" t="s">
        <v>6</v>
      </c>
      <c r="C2" s="47" t="s">
        <v>25</v>
      </c>
      <c r="D2" s="47" t="s">
        <v>6</v>
      </c>
      <c r="E2" s="47" t="s">
        <v>25</v>
      </c>
      <c r="G2" s="49"/>
      <c r="H2" s="50"/>
      <c r="I2" s="56"/>
      <c r="K2" s="15"/>
      <c r="L2" s="57"/>
    </row>
    <row r="3">
      <c r="B3" s="61" t="s">
        <v>23</v>
      </c>
      <c r="C3" s="63">
        <f>Mayo!D5+Mayo!D6+Mayo!D7+Mayo!D8+Mayo!D9+Mayo!D10+Mayo!D11+Mayo!D12+Junio!D5</f>
        <v>743.2</v>
      </c>
      <c r="D3" s="64" t="s">
        <v>10</v>
      </c>
      <c r="E3" s="66">
        <f>Mayo!H5+Junio!H6</f>
        <v>700</v>
      </c>
      <c r="G3" s="49"/>
      <c r="H3" s="50"/>
      <c r="I3" s="56"/>
      <c r="K3" s="15"/>
      <c r="L3" s="57"/>
    </row>
    <row r="4">
      <c r="B4" s="64"/>
      <c r="C4" s="67"/>
      <c r="D4" s="64" t="s">
        <v>14</v>
      </c>
      <c r="E4" s="68">
        <f>Mayo!H6+Mayo!H10</f>
        <v>117.96</v>
      </c>
      <c r="G4" s="49"/>
      <c r="H4" s="50"/>
      <c r="I4" s="56"/>
      <c r="K4" s="15"/>
      <c r="L4" s="57"/>
    </row>
    <row r="5">
      <c r="B5" s="64"/>
      <c r="C5" s="67"/>
      <c r="D5" s="71" t="s">
        <v>17</v>
      </c>
      <c r="E5" s="72">
        <f>SUM(Mayo!H7:H9)</f>
        <v>45.33</v>
      </c>
      <c r="I5" s="73">
        <f>SUM(I2:I4)</f>
        <v>0</v>
      </c>
      <c r="K5" s="15"/>
      <c r="L5" s="57"/>
    </row>
    <row r="6">
      <c r="B6" s="64"/>
      <c r="C6" s="63"/>
      <c r="D6" s="76" t="s">
        <v>29</v>
      </c>
      <c r="E6" s="77">
        <v>48.4</v>
      </c>
      <c r="I6" s="57"/>
      <c r="L6" s="57"/>
    </row>
    <row r="7">
      <c r="B7" s="64"/>
      <c r="C7" s="67"/>
      <c r="D7" s="76" t="s">
        <v>28</v>
      </c>
      <c r="E7" s="77">
        <v>91.55</v>
      </c>
      <c r="G7" s="57"/>
      <c r="I7" s="57"/>
      <c r="L7" s="57"/>
    </row>
    <row r="8">
      <c r="B8" s="64"/>
      <c r="C8" s="67"/>
      <c r="D8" s="64"/>
      <c r="E8" s="66"/>
      <c r="G8" s="57"/>
      <c r="I8" s="57"/>
      <c r="L8" s="57"/>
    </row>
    <row r="9">
      <c r="B9" s="64"/>
      <c r="C9" s="67"/>
      <c r="D9" s="64"/>
      <c r="E9" s="66"/>
      <c r="I9" s="57"/>
      <c r="L9" s="57"/>
    </row>
    <row r="10">
      <c r="B10" s="64"/>
      <c r="C10" s="67"/>
      <c r="D10" s="64"/>
      <c r="E10" s="66"/>
      <c r="I10" s="57"/>
      <c r="L10" s="57"/>
    </row>
    <row r="11">
      <c r="B11" s="64"/>
      <c r="C11" s="67"/>
      <c r="D11" s="64"/>
      <c r="E11" s="66"/>
      <c r="I11" s="57"/>
      <c r="L11" s="57"/>
    </row>
    <row r="12">
      <c r="B12" s="64"/>
      <c r="C12" s="67"/>
      <c r="D12" s="64"/>
      <c r="E12" s="66"/>
      <c r="I12" s="57"/>
      <c r="L12" s="57"/>
    </row>
    <row r="13">
      <c r="B13" s="64"/>
      <c r="C13" s="67"/>
      <c r="D13" s="64"/>
      <c r="E13" s="72"/>
      <c r="I13" s="57"/>
    </row>
    <row r="14">
      <c r="B14" s="64"/>
      <c r="C14" s="67"/>
      <c r="D14" s="64"/>
      <c r="E14" s="66"/>
      <c r="I14" s="57"/>
    </row>
    <row r="15">
      <c r="B15" s="64"/>
      <c r="C15" s="67"/>
      <c r="D15" s="64"/>
      <c r="E15" s="66"/>
    </row>
    <row r="16">
      <c r="B16" s="64"/>
      <c r="C16" s="67"/>
      <c r="D16" s="64"/>
      <c r="E16" s="66"/>
    </row>
    <row r="17">
      <c r="B17" s="64"/>
      <c r="C17" s="67"/>
      <c r="D17" s="64"/>
      <c r="E17" s="66"/>
    </row>
    <row r="18">
      <c r="B18" s="64"/>
      <c r="C18" s="67"/>
      <c r="D18" s="64"/>
      <c r="E18" s="66"/>
    </row>
    <row r="19">
      <c r="B19" s="64"/>
      <c r="C19" s="67"/>
      <c r="D19" s="64"/>
      <c r="E19" s="66"/>
    </row>
    <row r="20">
      <c r="B20" s="64"/>
      <c r="C20" s="67"/>
      <c r="D20" s="64"/>
      <c r="E20" s="66"/>
    </row>
    <row r="21" ht="15.75" customHeight="1">
      <c r="B21" s="64"/>
      <c r="C21" s="67"/>
      <c r="D21" s="64"/>
      <c r="E21" s="66"/>
    </row>
    <row r="22" ht="15.75" customHeight="1">
      <c r="B22" s="64"/>
      <c r="C22" s="67"/>
      <c r="D22" s="64"/>
      <c r="E22" s="66"/>
    </row>
    <row r="23" ht="15.75" customHeight="1">
      <c r="B23" s="64"/>
      <c r="C23" s="67"/>
      <c r="D23" s="64"/>
      <c r="E23" s="66"/>
    </row>
    <row r="24" ht="15.75" customHeight="1">
      <c r="B24" s="64"/>
      <c r="C24" s="67"/>
      <c r="D24" s="64"/>
      <c r="E24" s="66"/>
    </row>
    <row r="25" ht="15.75" customHeight="1">
      <c r="B25" s="64"/>
      <c r="C25" s="67"/>
      <c r="D25" s="64"/>
      <c r="E25" s="66"/>
    </row>
    <row r="26" ht="15.75" customHeight="1">
      <c r="B26" s="64"/>
      <c r="C26" s="67"/>
      <c r="D26" s="64"/>
      <c r="E26" s="66"/>
    </row>
    <row r="27" ht="15.75" customHeight="1">
      <c r="B27" s="64"/>
      <c r="C27" s="67"/>
      <c r="D27" s="64"/>
      <c r="E27" s="66"/>
    </row>
    <row r="28" ht="15.75" customHeight="1">
      <c r="B28" s="15"/>
      <c r="C28" s="91"/>
      <c r="D28" s="15"/>
      <c r="E28" s="93"/>
    </row>
    <row r="29" ht="15.75" customHeight="1">
      <c r="B29" s="46" t="s">
        <v>2</v>
      </c>
      <c r="C29" s="94">
        <f>SUM(C3:C27)</f>
        <v>743.2</v>
      </c>
      <c r="D29" s="46" t="s">
        <v>3</v>
      </c>
      <c r="E29" s="95">
        <f>SUM(E3:E27)</f>
        <v>1003.24</v>
      </c>
    </row>
    <row r="30" ht="15.75" customHeight="1">
      <c r="B30" s="46"/>
      <c r="C30" s="46"/>
      <c r="D30" s="46"/>
      <c r="E30" s="46"/>
    </row>
    <row r="31" ht="15.75" customHeight="1">
      <c r="B31" s="96" t="s">
        <v>30</v>
      </c>
      <c r="C31" s="97"/>
      <c r="D31" s="98">
        <f>C29-E29</f>
        <v>-260.04</v>
      </c>
      <c r="E31" s="9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C1"/>
    <mergeCell ref="D1:E1"/>
    <mergeCell ref="B31:C31"/>
    <mergeCell ref="D31:E3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6.88"/>
    <col customWidth="1" min="4" max="4" width="9.38"/>
    <col customWidth="1" min="5" max="5" width="10.38"/>
    <col customWidth="1" min="6" max="11" width="9.38"/>
    <col customWidth="1" min="12" max="12" width="19.63"/>
    <col customWidth="1" min="13" max="26" width="9.38"/>
  </cols>
  <sheetData>
    <row r="1" ht="15.0" customHeight="1">
      <c r="A1" s="1" t="s">
        <v>0</v>
      </c>
    </row>
    <row r="2" ht="15.0" customHeight="1">
      <c r="K2" s="2"/>
      <c r="L2" s="3" t="s">
        <v>1</v>
      </c>
    </row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  <c r="K3" s="8"/>
      <c r="L3" s="9" t="s">
        <v>4</v>
      </c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  <c r="K4" s="14"/>
      <c r="L4" s="15" t="s">
        <v>8</v>
      </c>
    </row>
    <row r="5">
      <c r="A5" s="16">
        <v>43956.0</v>
      </c>
      <c r="B5" s="17" t="s">
        <v>9</v>
      </c>
      <c r="C5" s="18"/>
      <c r="D5" s="19">
        <v>40.0</v>
      </c>
      <c r="E5" s="20">
        <v>43952.0</v>
      </c>
      <c r="F5" s="21" t="s">
        <v>10</v>
      </c>
      <c r="G5" s="18"/>
      <c r="H5" s="22">
        <v>350.0</v>
      </c>
      <c r="K5" s="23"/>
      <c r="L5" s="24" t="s">
        <v>11</v>
      </c>
    </row>
    <row r="6">
      <c r="A6" s="25">
        <v>43957.0</v>
      </c>
      <c r="B6" s="26" t="s">
        <v>12</v>
      </c>
      <c r="C6" s="27"/>
      <c r="D6" s="28">
        <v>50.0</v>
      </c>
      <c r="E6" s="29">
        <v>43955.0</v>
      </c>
      <c r="F6" s="30" t="s">
        <v>14</v>
      </c>
      <c r="G6" s="18"/>
      <c r="H6" s="31">
        <v>67.89</v>
      </c>
    </row>
    <row r="7">
      <c r="A7" s="25">
        <v>43963.0</v>
      </c>
      <c r="B7" s="26" t="s">
        <v>15</v>
      </c>
      <c r="C7" s="27"/>
      <c r="D7" s="28">
        <v>50.0</v>
      </c>
      <c r="E7" s="29">
        <v>43964.0</v>
      </c>
      <c r="F7" s="30" t="s">
        <v>17</v>
      </c>
      <c r="G7" s="18"/>
      <c r="H7" s="31">
        <v>19.0</v>
      </c>
    </row>
    <row r="8">
      <c r="A8" s="25">
        <v>43963.0</v>
      </c>
      <c r="B8" s="26" t="s">
        <v>18</v>
      </c>
      <c r="C8" s="27"/>
      <c r="D8" s="28">
        <v>50.0</v>
      </c>
      <c r="E8" s="29">
        <v>43977.0</v>
      </c>
      <c r="F8" s="30" t="s">
        <v>17</v>
      </c>
      <c r="G8" s="18"/>
      <c r="H8" s="31">
        <v>14.15</v>
      </c>
    </row>
    <row r="9">
      <c r="A9" s="36">
        <v>43969.0</v>
      </c>
      <c r="B9" s="37" t="s">
        <v>20</v>
      </c>
      <c r="C9" s="27"/>
      <c r="D9" s="38">
        <v>3.2</v>
      </c>
      <c r="E9" s="29">
        <v>43978.0</v>
      </c>
      <c r="F9" s="30" t="s">
        <v>17</v>
      </c>
      <c r="G9" s="18"/>
      <c r="H9" s="39">
        <v>12.18</v>
      </c>
    </row>
    <row r="10">
      <c r="A10" s="36">
        <v>43970.0</v>
      </c>
      <c r="B10" s="37" t="s">
        <v>21</v>
      </c>
      <c r="C10" s="27"/>
      <c r="D10" s="38">
        <v>140.0</v>
      </c>
      <c r="E10" s="29">
        <v>43976.0</v>
      </c>
      <c r="F10" s="30" t="s">
        <v>14</v>
      </c>
      <c r="G10" s="18"/>
      <c r="H10" s="39">
        <v>50.07</v>
      </c>
    </row>
    <row r="11">
      <c r="A11" s="36">
        <v>43976.0</v>
      </c>
      <c r="B11" s="37" t="s">
        <v>22</v>
      </c>
      <c r="C11" s="27"/>
      <c r="D11" s="38">
        <v>50.0</v>
      </c>
      <c r="E11" s="40"/>
      <c r="F11" s="42"/>
      <c r="G11" s="18"/>
      <c r="H11" s="48"/>
    </row>
    <row r="12">
      <c r="A12" s="36">
        <v>43978.0</v>
      </c>
      <c r="B12" s="37" t="s">
        <v>26</v>
      </c>
      <c r="C12" s="27"/>
      <c r="D12" s="38">
        <v>310.0</v>
      </c>
      <c r="E12" s="40"/>
      <c r="F12" s="42"/>
      <c r="G12" s="18"/>
      <c r="H12" s="48"/>
    </row>
    <row r="13">
      <c r="A13" s="51"/>
      <c r="B13" s="52"/>
      <c r="C13" s="27"/>
      <c r="D13" s="53"/>
      <c r="E13" s="40"/>
      <c r="F13" s="42"/>
      <c r="G13" s="18"/>
      <c r="H13" s="48"/>
    </row>
    <row r="14">
      <c r="A14" s="55"/>
      <c r="B14" s="58"/>
      <c r="C14" s="27"/>
      <c r="D14" s="60"/>
      <c r="E14" s="40"/>
      <c r="F14" s="21"/>
      <c r="G14" s="18"/>
      <c r="H14" s="62"/>
    </row>
    <row r="15">
      <c r="A15" s="55"/>
      <c r="B15" s="58"/>
      <c r="C15" s="27"/>
      <c r="D15" s="60"/>
      <c r="E15" s="40"/>
      <c r="F15" s="42"/>
      <c r="G15" s="18"/>
      <c r="H15" s="48"/>
    </row>
    <row r="16">
      <c r="A16" s="55"/>
      <c r="B16" s="58"/>
      <c r="C16" s="27"/>
      <c r="D16" s="60"/>
      <c r="E16" s="65"/>
      <c r="F16" s="21"/>
      <c r="G16" s="18"/>
      <c r="H16" s="48"/>
    </row>
    <row r="17">
      <c r="A17" s="51"/>
      <c r="B17" s="52"/>
      <c r="C17" s="27"/>
      <c r="D17" s="53"/>
      <c r="E17" s="65"/>
      <c r="F17" s="21"/>
      <c r="G17" s="18"/>
      <c r="H17" s="48"/>
    </row>
    <row r="18">
      <c r="A18" s="51"/>
      <c r="B18" s="52"/>
      <c r="C18" s="27"/>
      <c r="D18" s="53"/>
      <c r="E18" s="65"/>
      <c r="F18" s="21"/>
      <c r="G18" s="18"/>
      <c r="H18" s="48"/>
    </row>
    <row r="19">
      <c r="A19" s="51"/>
      <c r="B19" s="52"/>
      <c r="C19" s="27"/>
      <c r="D19" s="53"/>
      <c r="E19" s="65"/>
      <c r="F19" s="21"/>
      <c r="G19" s="18"/>
      <c r="H19" s="48"/>
    </row>
    <row r="20">
      <c r="A20" s="55"/>
      <c r="B20" s="58"/>
      <c r="C20" s="27"/>
      <c r="D20" s="60"/>
      <c r="E20" s="65"/>
      <c r="F20" s="21"/>
      <c r="G20" s="18"/>
      <c r="H20" s="48"/>
    </row>
    <row r="21" ht="15.75" customHeight="1">
      <c r="A21" s="51"/>
      <c r="B21" s="52"/>
      <c r="C21" s="27"/>
      <c r="D21" s="53"/>
      <c r="E21" s="65"/>
      <c r="F21" s="21"/>
      <c r="G21" s="18"/>
      <c r="H21" s="48"/>
    </row>
    <row r="22" ht="15.75" customHeight="1">
      <c r="A22" s="55"/>
      <c r="B22" s="58"/>
      <c r="C22" s="27"/>
      <c r="D22" s="60"/>
      <c r="E22" s="65"/>
      <c r="F22" s="21"/>
      <c r="G22" s="18"/>
      <c r="H22" s="48"/>
    </row>
    <row r="23" ht="15.75" customHeight="1">
      <c r="A23" s="55"/>
      <c r="B23" s="58"/>
      <c r="C23" s="27"/>
      <c r="D23" s="60"/>
      <c r="E23" s="65"/>
      <c r="F23" s="21"/>
      <c r="G23" s="18"/>
      <c r="H23" s="48"/>
    </row>
    <row r="24" ht="15.75" customHeight="1">
      <c r="A24" s="55"/>
      <c r="B24" s="58"/>
      <c r="C24" s="27"/>
      <c r="D24" s="60"/>
      <c r="E24" s="74"/>
      <c r="F24" s="21"/>
      <c r="G24" s="18"/>
      <c r="H24" s="85"/>
    </row>
    <row r="25" ht="15.75" customHeight="1">
      <c r="A25" s="55"/>
      <c r="B25" s="58"/>
      <c r="C25" s="27"/>
      <c r="D25" s="60"/>
      <c r="E25" s="65"/>
      <c r="F25" s="21"/>
      <c r="G25" s="18"/>
      <c r="H25" s="48"/>
    </row>
    <row r="26" ht="15.75" customHeight="1">
      <c r="A26" s="86"/>
      <c r="B26" s="58"/>
      <c r="C26" s="27"/>
      <c r="D26" s="87"/>
      <c r="E26" s="74"/>
      <c r="F26" s="88"/>
      <c r="G26" s="89"/>
      <c r="H26" s="85"/>
    </row>
    <row r="27" ht="15.75" customHeight="1">
      <c r="A27" s="90"/>
      <c r="B27" s="52"/>
      <c r="C27" s="27"/>
      <c r="D27" s="92"/>
      <c r="E27" s="74"/>
      <c r="F27" s="88"/>
      <c r="G27" s="89"/>
      <c r="H27" s="85"/>
    </row>
    <row r="28" ht="15.75" customHeight="1">
      <c r="A28" s="86"/>
      <c r="B28" s="58"/>
      <c r="C28" s="27"/>
      <c r="D28" s="87"/>
      <c r="E28" s="74"/>
      <c r="F28" s="88"/>
      <c r="G28" s="89"/>
      <c r="H28" s="85"/>
    </row>
    <row r="29" ht="15.75" customHeight="1">
      <c r="A29" s="90"/>
      <c r="B29" s="52"/>
      <c r="C29" s="27"/>
      <c r="D29" s="92"/>
      <c r="E29" s="74"/>
      <c r="F29" s="88"/>
      <c r="G29" s="89"/>
      <c r="H29" s="85"/>
    </row>
    <row r="30" ht="15.75" customHeight="1">
      <c r="A30" s="90"/>
      <c r="B30" s="52"/>
      <c r="C30" s="27"/>
      <c r="D30" s="92"/>
      <c r="E30" s="74"/>
      <c r="F30" s="88"/>
      <c r="G30" s="89"/>
      <c r="H30" s="85"/>
    </row>
    <row r="31" ht="15.75" customHeight="1">
      <c r="A31" s="90"/>
      <c r="B31" s="52"/>
      <c r="C31" s="27"/>
      <c r="D31" s="92"/>
      <c r="E31" s="74"/>
      <c r="F31" s="88"/>
      <c r="G31" s="89"/>
      <c r="H31" s="85"/>
    </row>
    <row r="32" ht="15.75" customHeight="1">
      <c r="A32" s="86"/>
      <c r="B32" s="58"/>
      <c r="C32" s="27"/>
      <c r="D32" s="87"/>
      <c r="E32" s="74"/>
      <c r="F32" s="88"/>
      <c r="G32" s="89"/>
      <c r="H32" s="85"/>
    </row>
    <row r="33" ht="15.75" customHeight="1">
      <c r="A33" s="90"/>
      <c r="B33" s="52"/>
      <c r="C33" s="27"/>
      <c r="D33" s="92"/>
      <c r="E33" s="74"/>
      <c r="F33" s="88"/>
      <c r="G33" s="89"/>
      <c r="H33" s="85"/>
    </row>
    <row r="34" ht="15.75" customHeight="1">
      <c r="A34" s="90"/>
      <c r="B34" s="52"/>
      <c r="C34" s="27"/>
      <c r="D34" s="92"/>
      <c r="E34" s="74"/>
      <c r="F34" s="88"/>
      <c r="G34" s="89"/>
      <c r="H34" s="85"/>
    </row>
    <row r="35" ht="15.75" customHeight="1">
      <c r="A35" s="90"/>
      <c r="B35" s="52"/>
      <c r="C35" s="27"/>
      <c r="D35" s="92"/>
      <c r="E35" s="74"/>
      <c r="F35" s="88"/>
      <c r="G35" s="100"/>
      <c r="H35" s="85"/>
    </row>
    <row r="36" ht="15.75" customHeight="1">
      <c r="A36" s="90"/>
      <c r="B36" s="52"/>
      <c r="C36" s="27"/>
      <c r="D36" s="92"/>
      <c r="E36" s="74"/>
      <c r="F36" s="88"/>
      <c r="G36" s="100"/>
      <c r="H36" s="85"/>
    </row>
    <row r="37" ht="15.75" customHeight="1">
      <c r="A37" s="90"/>
      <c r="B37" s="52"/>
      <c r="C37" s="27"/>
      <c r="D37" s="92"/>
      <c r="E37" s="74"/>
      <c r="F37" s="88"/>
      <c r="G37" s="100"/>
      <c r="H37" s="85"/>
    </row>
    <row r="38" ht="15.75" customHeight="1">
      <c r="A38" s="90"/>
      <c r="B38" s="52"/>
      <c r="C38" s="27"/>
      <c r="D38" s="92"/>
      <c r="E38" s="74"/>
      <c r="F38" s="88"/>
      <c r="G38" s="100"/>
      <c r="H38" s="85"/>
    </row>
    <row r="39" ht="15.75" customHeight="1">
      <c r="A39" s="90"/>
      <c r="B39" s="52"/>
      <c r="C39" s="27"/>
      <c r="D39" s="92"/>
      <c r="E39" s="74"/>
      <c r="F39" s="88"/>
      <c r="G39" s="100"/>
      <c r="H39" s="85"/>
    </row>
    <row r="40" ht="15.75" customHeight="1">
      <c r="A40" s="78"/>
      <c r="B40" s="79"/>
      <c r="C40" s="12"/>
      <c r="D40" s="104"/>
      <c r="E40" s="78"/>
      <c r="F40" s="79"/>
      <c r="G40" s="12"/>
      <c r="H40" s="113"/>
    </row>
    <row r="41" ht="15.75" customHeight="1"/>
    <row r="42" ht="15.75" customHeight="1">
      <c r="C42" s="45" t="s">
        <v>2</v>
      </c>
      <c r="E42" s="82">
        <f>SUM(D5:D40)</f>
        <v>693.2</v>
      </c>
    </row>
    <row r="43" ht="15.75" customHeight="1">
      <c r="C43" s="45" t="s">
        <v>3</v>
      </c>
      <c r="E43" s="83">
        <f>SUM(H5:H40)</f>
        <v>513.29</v>
      </c>
    </row>
    <row r="44" ht="15.75" customHeight="1">
      <c r="C44" s="45" t="s">
        <v>30</v>
      </c>
      <c r="E44" s="84">
        <f>E42-E43</f>
        <v>179.91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28:G28"/>
    <mergeCell ref="F29:G29"/>
    <mergeCell ref="B24:C24"/>
    <mergeCell ref="B25:C25"/>
    <mergeCell ref="B26:C26"/>
    <mergeCell ref="B27:C27"/>
    <mergeCell ref="F27:G27"/>
    <mergeCell ref="B28:C28"/>
    <mergeCell ref="B29:C29"/>
    <mergeCell ref="B30:C30"/>
    <mergeCell ref="F30:G30"/>
    <mergeCell ref="B31:C31"/>
    <mergeCell ref="F31:G31"/>
    <mergeCell ref="B32:C32"/>
    <mergeCell ref="F32:G32"/>
    <mergeCell ref="F33:G33"/>
    <mergeCell ref="F34:G34"/>
    <mergeCell ref="B33:C33"/>
    <mergeCell ref="B34:C34"/>
    <mergeCell ref="B35:C35"/>
    <mergeCell ref="B36:C36"/>
    <mergeCell ref="B37:C37"/>
    <mergeCell ref="B38:C38"/>
    <mergeCell ref="B39:C39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17:C17"/>
    <mergeCell ref="B18:C18"/>
    <mergeCell ref="B19:C19"/>
    <mergeCell ref="B20:C20"/>
    <mergeCell ref="B21:C21"/>
    <mergeCell ref="B22:C22"/>
    <mergeCell ref="B23:C23"/>
    <mergeCell ref="B40:C40"/>
    <mergeCell ref="F40:G40"/>
    <mergeCell ref="C42:D42"/>
    <mergeCell ref="C43:D43"/>
    <mergeCell ref="C44:D4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4.38"/>
    <col customWidth="1" min="4" max="4" width="9.38"/>
    <col customWidth="1" min="5" max="5" width="10.38"/>
    <col customWidth="1" min="6" max="6" width="9.38"/>
    <col customWidth="1" min="7" max="7" width="14.25"/>
    <col customWidth="1" min="8" max="26" width="9.38"/>
  </cols>
  <sheetData>
    <row r="1" ht="15.0" customHeight="1">
      <c r="A1" s="1" t="s">
        <v>13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32">
        <v>43984.0</v>
      </c>
      <c r="B5" s="33" t="s">
        <v>16</v>
      </c>
      <c r="C5" s="18"/>
      <c r="D5" s="34">
        <v>50.0</v>
      </c>
      <c r="E5" s="35">
        <v>43983.0</v>
      </c>
      <c r="F5" s="30" t="s">
        <v>19</v>
      </c>
      <c r="G5" s="18"/>
      <c r="H5" s="43">
        <v>48.4</v>
      </c>
    </row>
    <row r="6">
      <c r="A6" s="51"/>
      <c r="B6" s="52"/>
      <c r="C6" s="27"/>
      <c r="D6" s="53"/>
      <c r="E6" s="54">
        <v>43984.0</v>
      </c>
      <c r="F6" s="30" t="s">
        <v>27</v>
      </c>
      <c r="G6" s="18"/>
      <c r="H6" s="59">
        <v>350.0</v>
      </c>
    </row>
    <row r="7">
      <c r="A7" s="51"/>
      <c r="B7" s="52"/>
      <c r="C7" s="27"/>
      <c r="D7" s="53"/>
      <c r="E7" s="54">
        <v>43987.0</v>
      </c>
      <c r="F7" s="30" t="s">
        <v>28</v>
      </c>
      <c r="G7" s="18"/>
      <c r="H7" s="59">
        <v>91.55</v>
      </c>
    </row>
    <row r="8">
      <c r="A8" s="51"/>
      <c r="B8" s="52"/>
      <c r="C8" s="27"/>
      <c r="D8" s="53"/>
      <c r="E8" s="40"/>
      <c r="F8" s="21"/>
      <c r="G8" s="18"/>
      <c r="H8" s="62"/>
    </row>
    <row r="9">
      <c r="A9" s="55"/>
      <c r="B9" s="58"/>
      <c r="C9" s="27"/>
      <c r="D9" s="60"/>
      <c r="E9" s="40"/>
      <c r="F9" s="21"/>
      <c r="G9" s="18"/>
      <c r="H9" s="62"/>
    </row>
    <row r="10">
      <c r="A10" s="55"/>
      <c r="B10" s="58"/>
      <c r="C10" s="27"/>
      <c r="D10" s="60"/>
      <c r="E10" s="40"/>
      <c r="F10" s="21"/>
      <c r="G10" s="18"/>
      <c r="H10" s="62"/>
    </row>
    <row r="11">
      <c r="A11" s="55"/>
      <c r="B11" s="58"/>
      <c r="C11" s="27"/>
      <c r="D11" s="60"/>
      <c r="E11" s="40"/>
      <c r="F11" s="21"/>
      <c r="G11" s="18"/>
      <c r="H11" s="62"/>
    </row>
    <row r="12">
      <c r="A12" s="55"/>
      <c r="B12" s="58"/>
      <c r="C12" s="27"/>
      <c r="D12" s="60"/>
      <c r="E12" s="40"/>
      <c r="F12" s="21"/>
      <c r="G12" s="18"/>
      <c r="H12" s="62"/>
    </row>
    <row r="13">
      <c r="A13" s="55"/>
      <c r="B13" s="58"/>
      <c r="C13" s="27"/>
      <c r="D13" s="60"/>
      <c r="E13" s="40"/>
      <c r="F13" s="21"/>
      <c r="G13" s="18"/>
      <c r="H13" s="62"/>
    </row>
    <row r="14">
      <c r="A14" s="55"/>
      <c r="B14" s="58"/>
      <c r="C14" s="27"/>
      <c r="D14" s="60"/>
      <c r="E14" s="65"/>
      <c r="F14" s="21"/>
      <c r="G14" s="18"/>
      <c r="H14" s="62"/>
    </row>
    <row r="15">
      <c r="A15" s="55"/>
      <c r="B15" s="58"/>
      <c r="C15" s="27"/>
      <c r="D15" s="60"/>
      <c r="E15" s="65"/>
      <c r="F15" s="21"/>
      <c r="G15" s="18"/>
      <c r="H15" s="62"/>
    </row>
    <row r="16">
      <c r="A16" s="55"/>
      <c r="B16" s="58"/>
      <c r="C16" s="27"/>
      <c r="D16" s="60"/>
      <c r="E16" s="65"/>
      <c r="F16" s="21"/>
      <c r="G16" s="18"/>
      <c r="H16" s="62"/>
    </row>
    <row r="17">
      <c r="A17" s="55"/>
      <c r="B17" s="58"/>
      <c r="C17" s="27"/>
      <c r="D17" s="60"/>
      <c r="E17" s="65"/>
      <c r="F17" s="21"/>
      <c r="G17" s="18"/>
      <c r="H17" s="62"/>
    </row>
    <row r="18">
      <c r="A18" s="51"/>
      <c r="B18" s="52"/>
      <c r="C18" s="27"/>
      <c r="D18" s="53"/>
      <c r="E18" s="65"/>
      <c r="F18" s="21"/>
      <c r="G18" s="18"/>
      <c r="H18" s="62"/>
    </row>
    <row r="19">
      <c r="A19" s="55"/>
      <c r="B19" s="58"/>
      <c r="C19" s="27"/>
      <c r="D19" s="60"/>
      <c r="E19" s="65"/>
      <c r="F19" s="21"/>
      <c r="G19" s="18"/>
      <c r="H19" s="62"/>
    </row>
    <row r="20">
      <c r="A20" s="51"/>
      <c r="B20" s="52"/>
      <c r="C20" s="27"/>
      <c r="D20" s="53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2">
        <f>SUM(D5:D26)</f>
        <v>50</v>
      </c>
    </row>
    <row r="29" ht="15.75" customHeight="1">
      <c r="C29" s="45" t="s">
        <v>3</v>
      </c>
      <c r="E29" s="83">
        <f>SUM(H5:H26)</f>
        <v>489.95</v>
      </c>
    </row>
    <row r="30" ht="15.75" customHeight="1">
      <c r="C30" s="45" t="s">
        <v>30</v>
      </c>
      <c r="E30" s="84">
        <f>E28-E29</f>
        <v>-439.95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4.13"/>
    <col customWidth="1" min="4" max="4" width="9.38"/>
    <col customWidth="1" min="5" max="5" width="10.38"/>
    <col customWidth="1" min="6" max="26" width="9.38"/>
  </cols>
  <sheetData>
    <row r="1" ht="15.0" customHeight="1">
      <c r="A1" s="1" t="s">
        <v>31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01"/>
      <c r="B5" s="58"/>
      <c r="C5" s="27"/>
      <c r="D5" s="102"/>
      <c r="E5" s="103"/>
      <c r="F5" s="21"/>
      <c r="G5" s="18"/>
      <c r="H5" s="22"/>
    </row>
    <row r="6">
      <c r="A6" s="55"/>
      <c r="B6" s="58"/>
      <c r="C6" s="27"/>
      <c r="D6" s="60"/>
      <c r="E6" s="40"/>
      <c r="F6" s="21"/>
      <c r="G6" s="18"/>
      <c r="H6" s="62"/>
    </row>
    <row r="7">
      <c r="A7" s="55"/>
      <c r="B7" s="58"/>
      <c r="C7" s="27"/>
      <c r="D7" s="60"/>
      <c r="E7" s="40"/>
      <c r="F7" s="21"/>
      <c r="G7" s="18"/>
      <c r="H7" s="62"/>
    </row>
    <row r="8">
      <c r="A8" s="55"/>
      <c r="B8" s="58"/>
      <c r="C8" s="27"/>
      <c r="D8" s="60"/>
      <c r="E8" s="40"/>
      <c r="F8" s="21"/>
      <c r="G8" s="18"/>
      <c r="H8" s="62"/>
    </row>
    <row r="9">
      <c r="A9" s="55"/>
      <c r="B9" s="58"/>
      <c r="C9" s="27"/>
      <c r="D9" s="60"/>
      <c r="E9" s="40"/>
      <c r="F9" s="21"/>
      <c r="G9" s="18"/>
      <c r="H9" s="62"/>
    </row>
    <row r="10">
      <c r="A10" s="55"/>
      <c r="B10" s="58"/>
      <c r="C10" s="27"/>
      <c r="D10" s="60"/>
      <c r="E10" s="65"/>
      <c r="F10" s="21"/>
      <c r="G10" s="18"/>
      <c r="H10" s="62"/>
    </row>
    <row r="11">
      <c r="A11" s="55"/>
      <c r="B11" s="58"/>
      <c r="C11" s="27"/>
      <c r="D11" s="60"/>
      <c r="E11" s="65"/>
      <c r="F11" s="21"/>
      <c r="G11" s="18"/>
      <c r="H11" s="62"/>
    </row>
    <row r="12">
      <c r="A12" s="55"/>
      <c r="B12" s="58"/>
      <c r="C12" s="27"/>
      <c r="D12" s="6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32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05"/>
      <c r="B5" s="106"/>
      <c r="C5" s="18"/>
      <c r="D5" s="107"/>
      <c r="E5" s="103"/>
      <c r="F5" s="21"/>
      <c r="G5" s="18"/>
      <c r="H5" s="22"/>
    </row>
    <row r="6">
      <c r="A6" s="108"/>
      <c r="B6" s="109"/>
      <c r="C6" s="27"/>
      <c r="D6" s="110"/>
      <c r="E6" s="40"/>
      <c r="F6" s="21"/>
      <c r="G6" s="18"/>
      <c r="H6" s="62"/>
    </row>
    <row r="7">
      <c r="A7" s="108"/>
      <c r="B7" s="109"/>
      <c r="C7" s="27"/>
      <c r="D7" s="110"/>
      <c r="E7" s="65"/>
      <c r="F7" s="21"/>
      <c r="G7" s="18"/>
      <c r="H7" s="62"/>
    </row>
    <row r="8">
      <c r="A8" s="108"/>
      <c r="B8" s="109"/>
      <c r="C8" s="27"/>
      <c r="D8" s="110"/>
      <c r="E8" s="65"/>
      <c r="F8" s="21"/>
      <c r="G8" s="18"/>
      <c r="H8" s="62"/>
    </row>
    <row r="9">
      <c r="A9" s="108"/>
      <c r="B9" s="109"/>
      <c r="C9" s="27"/>
      <c r="D9" s="110"/>
      <c r="E9" s="65"/>
      <c r="F9" s="21"/>
      <c r="G9" s="18"/>
      <c r="H9" s="62"/>
    </row>
    <row r="10">
      <c r="A10" s="108"/>
      <c r="B10" s="109"/>
      <c r="C10" s="27"/>
      <c r="D10" s="110"/>
      <c r="E10" s="65"/>
      <c r="F10" s="21"/>
      <c r="G10" s="18"/>
      <c r="H10" s="62"/>
    </row>
    <row r="11">
      <c r="A11" s="108"/>
      <c r="B11" s="109"/>
      <c r="C11" s="27"/>
      <c r="D11" s="110"/>
      <c r="E11" s="65"/>
      <c r="F11" s="21"/>
      <c r="G11" s="18"/>
      <c r="H11" s="62"/>
    </row>
    <row r="12">
      <c r="A12" s="51"/>
      <c r="B12" s="52"/>
      <c r="C12" s="27"/>
      <c r="D12" s="53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33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34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114"/>
      <c r="G26" s="114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8:G18"/>
    <mergeCell ref="F19:G19"/>
    <mergeCell ref="F20:G20"/>
    <mergeCell ref="F21:G21"/>
    <mergeCell ref="F22:G22"/>
    <mergeCell ref="F23:G23"/>
    <mergeCell ref="F24:G24"/>
    <mergeCell ref="F25:G25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35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36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37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38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39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10.38"/>
    <col customWidth="1" min="6" max="26" width="9.38"/>
  </cols>
  <sheetData>
    <row r="1" ht="15.0" customHeight="1">
      <c r="A1" s="1" t="s">
        <v>40</v>
      </c>
    </row>
    <row r="2" ht="15.0" customHeight="1"/>
    <row r="3">
      <c r="A3" s="4" t="s">
        <v>2</v>
      </c>
      <c r="B3" s="5"/>
      <c r="C3" s="5"/>
      <c r="D3" s="6"/>
      <c r="E3" s="4" t="s">
        <v>3</v>
      </c>
      <c r="F3" s="5"/>
      <c r="G3" s="5"/>
      <c r="H3" s="7"/>
    </row>
    <row r="4">
      <c r="A4" s="10" t="s">
        <v>5</v>
      </c>
      <c r="B4" s="11" t="s">
        <v>6</v>
      </c>
      <c r="C4" s="12"/>
      <c r="D4" s="11" t="s">
        <v>7</v>
      </c>
      <c r="E4" s="10" t="s">
        <v>5</v>
      </c>
      <c r="F4" s="11" t="s">
        <v>6</v>
      </c>
      <c r="G4" s="12"/>
      <c r="H4" s="13" t="s">
        <v>7</v>
      </c>
    </row>
    <row r="5">
      <c r="A5" s="111"/>
      <c r="B5" s="21"/>
      <c r="C5" s="18"/>
      <c r="D5" s="112"/>
      <c r="E5" s="111"/>
      <c r="F5" s="21"/>
      <c r="G5" s="18"/>
      <c r="H5" s="22"/>
    </row>
    <row r="6">
      <c r="A6" s="65"/>
      <c r="B6" s="69"/>
      <c r="C6" s="27"/>
      <c r="D6" s="70"/>
      <c r="E6" s="65"/>
      <c r="F6" s="21"/>
      <c r="G6" s="18"/>
      <c r="H6" s="62"/>
    </row>
    <row r="7">
      <c r="A7" s="65"/>
      <c r="B7" s="69"/>
      <c r="C7" s="27"/>
      <c r="D7" s="70"/>
      <c r="E7" s="65"/>
      <c r="F7" s="21"/>
      <c r="G7" s="18"/>
      <c r="H7" s="62"/>
    </row>
    <row r="8">
      <c r="A8" s="65"/>
      <c r="B8" s="69"/>
      <c r="C8" s="27"/>
      <c r="D8" s="70"/>
      <c r="E8" s="65"/>
      <c r="F8" s="21"/>
      <c r="G8" s="18"/>
      <c r="H8" s="62"/>
    </row>
    <row r="9">
      <c r="A9" s="65"/>
      <c r="B9" s="69"/>
      <c r="C9" s="27"/>
      <c r="D9" s="70"/>
      <c r="E9" s="65"/>
      <c r="F9" s="21"/>
      <c r="G9" s="18"/>
      <c r="H9" s="62"/>
    </row>
    <row r="10">
      <c r="A10" s="65"/>
      <c r="B10" s="69"/>
      <c r="C10" s="27"/>
      <c r="D10" s="70"/>
      <c r="E10" s="65"/>
      <c r="F10" s="21"/>
      <c r="G10" s="18"/>
      <c r="H10" s="62"/>
    </row>
    <row r="11">
      <c r="A11" s="65"/>
      <c r="B11" s="69"/>
      <c r="C11" s="27"/>
      <c r="D11" s="70"/>
      <c r="E11" s="65"/>
      <c r="F11" s="21"/>
      <c r="G11" s="18"/>
      <c r="H11" s="62"/>
    </row>
    <row r="12">
      <c r="A12" s="65"/>
      <c r="B12" s="69"/>
      <c r="C12" s="27"/>
      <c r="D12" s="70"/>
      <c r="E12" s="65"/>
      <c r="F12" s="21"/>
      <c r="G12" s="18"/>
      <c r="H12" s="62"/>
    </row>
    <row r="13">
      <c r="A13" s="65"/>
      <c r="B13" s="69"/>
      <c r="C13" s="27"/>
      <c r="D13" s="70"/>
      <c r="E13" s="65"/>
      <c r="F13" s="21"/>
      <c r="G13" s="18"/>
      <c r="H13" s="62"/>
    </row>
    <row r="14">
      <c r="A14" s="65"/>
      <c r="B14" s="69"/>
      <c r="C14" s="27"/>
      <c r="D14" s="70"/>
      <c r="E14" s="65"/>
      <c r="F14" s="21"/>
      <c r="G14" s="18"/>
      <c r="H14" s="62"/>
    </row>
    <row r="15">
      <c r="A15" s="65"/>
      <c r="B15" s="69"/>
      <c r="C15" s="27"/>
      <c r="D15" s="70"/>
      <c r="E15" s="65"/>
      <c r="F15" s="21"/>
      <c r="G15" s="18"/>
      <c r="H15" s="62"/>
    </row>
    <row r="16">
      <c r="A16" s="65"/>
      <c r="B16" s="69"/>
      <c r="C16" s="27"/>
      <c r="D16" s="70"/>
      <c r="E16" s="65"/>
      <c r="F16" s="21"/>
      <c r="G16" s="18"/>
      <c r="H16" s="62"/>
    </row>
    <row r="17">
      <c r="A17" s="65"/>
      <c r="B17" s="69"/>
      <c r="C17" s="27"/>
      <c r="D17" s="70"/>
      <c r="E17" s="65"/>
      <c r="F17" s="21"/>
      <c r="G17" s="18"/>
      <c r="H17" s="62"/>
    </row>
    <row r="18">
      <c r="A18" s="65"/>
      <c r="B18" s="69"/>
      <c r="C18" s="27"/>
      <c r="D18" s="70"/>
      <c r="E18" s="65"/>
      <c r="F18" s="21"/>
      <c r="G18" s="18"/>
      <c r="H18" s="62"/>
    </row>
    <row r="19">
      <c r="A19" s="65"/>
      <c r="B19" s="69"/>
      <c r="C19" s="27"/>
      <c r="D19" s="70"/>
      <c r="E19" s="65"/>
      <c r="F19" s="21"/>
      <c r="G19" s="18"/>
      <c r="H19" s="62"/>
    </row>
    <row r="20">
      <c r="A20" s="65"/>
      <c r="B20" s="69"/>
      <c r="C20" s="27"/>
      <c r="D20" s="70"/>
      <c r="E20" s="65"/>
      <c r="F20" s="21"/>
      <c r="G20" s="18"/>
      <c r="H20" s="62"/>
    </row>
    <row r="21" ht="15.75" customHeight="1">
      <c r="A21" s="65"/>
      <c r="B21" s="69"/>
      <c r="C21" s="27"/>
      <c r="D21" s="70"/>
      <c r="E21" s="65"/>
      <c r="F21" s="21"/>
      <c r="G21" s="18"/>
      <c r="H21" s="62"/>
    </row>
    <row r="22" ht="15.75" customHeight="1">
      <c r="A22" s="65"/>
      <c r="B22" s="69"/>
      <c r="C22" s="27"/>
      <c r="D22" s="70"/>
      <c r="E22" s="65"/>
      <c r="F22" s="21"/>
      <c r="G22" s="18"/>
      <c r="H22" s="62"/>
    </row>
    <row r="23" ht="15.75" customHeight="1">
      <c r="A23" s="65"/>
      <c r="B23" s="69"/>
      <c r="C23" s="27"/>
      <c r="D23" s="70"/>
      <c r="E23" s="65"/>
      <c r="F23" s="21"/>
      <c r="G23" s="18"/>
      <c r="H23" s="62"/>
    </row>
    <row r="24" ht="15.75" customHeight="1">
      <c r="A24" s="65"/>
      <c r="B24" s="69"/>
      <c r="C24" s="27"/>
      <c r="D24" s="70"/>
      <c r="E24" s="74"/>
      <c r="F24" s="21"/>
      <c r="G24" s="18"/>
      <c r="H24" s="75"/>
    </row>
    <row r="25" ht="15.75" customHeight="1">
      <c r="A25" s="65"/>
      <c r="B25" s="69"/>
      <c r="C25" s="27"/>
      <c r="D25" s="70"/>
      <c r="E25" s="65"/>
      <c r="F25" s="21"/>
      <c r="G25" s="18"/>
      <c r="H25" s="62"/>
    </row>
    <row r="26" ht="15.75" customHeight="1">
      <c r="A26" s="78"/>
      <c r="B26" s="79"/>
      <c r="C26" s="12"/>
      <c r="D26" s="80"/>
      <c r="E26" s="78"/>
      <c r="F26" s="21"/>
      <c r="G26" s="18"/>
      <c r="H26" s="81"/>
    </row>
    <row r="27" ht="15.75" customHeight="1"/>
    <row r="28" ht="15.75" customHeight="1">
      <c r="C28" s="45" t="s">
        <v>2</v>
      </c>
      <c r="E28" s="84">
        <f>SUM(D5:D26)</f>
        <v>0</v>
      </c>
    </row>
    <row r="29" ht="15.75" customHeight="1">
      <c r="C29" s="45" t="s">
        <v>3</v>
      </c>
      <c r="E29" s="84">
        <f>SUM(H5:H26)</f>
        <v>0</v>
      </c>
    </row>
    <row r="30" ht="15.75" customHeight="1">
      <c r="C30" s="45" t="s">
        <v>30</v>
      </c>
      <c r="E30" s="84">
        <f>E28-E29</f>
        <v>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5:G5"/>
    <mergeCell ref="F6:G6"/>
    <mergeCell ref="A1:H2"/>
    <mergeCell ref="A3:D3"/>
    <mergeCell ref="E3:H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24:C24"/>
    <mergeCell ref="B25:C25"/>
    <mergeCell ref="B26:C26"/>
    <mergeCell ref="C28:D28"/>
    <mergeCell ref="C29:D29"/>
    <mergeCell ref="C30:D30"/>
    <mergeCell ref="B17:C17"/>
    <mergeCell ref="B18:C18"/>
    <mergeCell ref="B19:C19"/>
    <mergeCell ref="B20:C20"/>
    <mergeCell ref="B21:C21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2019-05-06T09:17:25Z</dcterms:created>
  <dc:creator>Encargado</dc:creator>
</cp:coreProperties>
</file>